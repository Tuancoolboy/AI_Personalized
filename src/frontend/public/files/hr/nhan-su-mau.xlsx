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 sách NV" sheetId="1" state="visible" r:id="rId3"/>
    <sheet name="Tổng hợp" sheetId="2" state="visible" r:id="rId4"/>
    <sheet name="Hướng dẫn" sheetId="3" state="visible" r:id="rId5"/>
  </sheets>
  <definedNames>
    <definedName function="false" hidden="true" localSheetId="0" name="_xlnm._FilterDatabase" vbProcedure="false">'Danh sách NV'!$A$3:$K$28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<sst xmlns="http://schemas.openxmlformats.org/spreadsheetml/2006/main" count="235" uniqueCount="125">
  <si>
    <t xml:space="preserve">DANH SÁCH NHÂN SỰ — Công ty mẫu (đơn vị lương: VNĐ)</t>
  </si>
  <si>
    <t xml:space="preserve">Mã NV</t>
  </si>
  <si>
    <t xml:space="preserve">Họ tên</t>
  </si>
  <si>
    <t xml:space="preserve">Phòng</t>
  </si>
  <si>
    <t xml:space="preserve">Chức danh</t>
  </si>
  <si>
    <t xml:space="preserve">Giới tính</t>
  </si>
  <si>
    <t xml:space="preserve">Năm sinh</t>
  </si>
  <si>
    <t xml:space="preserve">Ngày vào</t>
  </si>
  <si>
    <t xml:space="preserve">Ngày nghỉ</t>
  </si>
  <si>
    <t xml:space="preserve">Loại hợp đồng</t>
  </si>
  <si>
    <t xml:space="preserve">Lương</t>
  </si>
  <si>
    <t xml:space="preserve">Trạng thái</t>
  </si>
  <si>
    <t xml:space="preserve">NV001</t>
  </si>
  <si>
    <t xml:space="preserve">Nguyễn Thị Lan</t>
  </si>
  <si>
    <t xml:space="preserve">Kinh doanh</t>
  </si>
  <si>
    <t xml:space="preserve">Nhân viên KD</t>
  </si>
  <si>
    <t xml:space="preserve">Nữ</t>
  </si>
  <si>
    <t xml:space="preserve">2023-02-15</t>
  </si>
  <si>
    <t xml:space="preserve">Không xác định thời hạn</t>
  </si>
  <si>
    <t xml:space="preserve">Đang làm</t>
  </si>
  <si>
    <t xml:space="preserve">NV002</t>
  </si>
  <si>
    <t xml:space="preserve">Trần Văn Hùng</t>
  </si>
  <si>
    <t xml:space="preserve">Nam</t>
  </si>
  <si>
    <t xml:space="preserve">2024-06-01</t>
  </si>
  <si>
    <t xml:space="preserve">Xác định 12 tháng</t>
  </si>
  <si>
    <t xml:space="preserve">NV003</t>
  </si>
  <si>
    <t xml:space="preserve">Lê Thị Hoa</t>
  </si>
  <si>
    <t xml:space="preserve">Kế toán</t>
  </si>
  <si>
    <t xml:space="preserve">Kế toán tổng hợp</t>
  </si>
  <si>
    <t xml:space="preserve">2021-03-01</t>
  </si>
  <si>
    <t xml:space="preserve">NV004</t>
  </si>
  <si>
    <t xml:space="preserve">Phạm Minh Tuấn</t>
  </si>
  <si>
    <t xml:space="preserve">Vận hành</t>
  </si>
  <si>
    <t xml:space="preserve">NV vận hành</t>
  </si>
  <si>
    <t xml:space="preserve">2025-06-10</t>
  </si>
  <si>
    <t xml:space="preserve">2026-02-20</t>
  </si>
  <si>
    <t xml:space="preserve">Thử việc</t>
  </si>
  <si>
    <t xml:space="preserve">Đã nghỉ</t>
  </si>
  <si>
    <t xml:space="preserve">NV005</t>
  </si>
  <si>
    <t xml:space="preserve">Hoàng Thị Mai</t>
  </si>
  <si>
    <t xml:space="preserve">Marketing</t>
  </si>
  <si>
    <t xml:space="preserve">NV Marketing</t>
  </si>
  <si>
    <t xml:space="preserve">2022-09-05</t>
  </si>
  <si>
    <t xml:space="preserve">NV006</t>
  </si>
  <si>
    <t xml:space="preserve">Đỗ Văn Nam</t>
  </si>
  <si>
    <t xml:space="preserve">Kế toán kho</t>
  </si>
  <si>
    <t xml:space="preserve">2023-07-20</t>
  </si>
  <si>
    <t xml:space="preserve">NV007</t>
  </si>
  <si>
    <t xml:space="preserve">Vũ Thị Thu</t>
  </si>
  <si>
    <t xml:space="preserve">2025-08-12</t>
  </si>
  <si>
    <t xml:space="preserve">NV008</t>
  </si>
  <si>
    <t xml:space="preserve">Bùi Văn Khoa</t>
  </si>
  <si>
    <t xml:space="preserve">2024-04-01</t>
  </si>
  <si>
    <t xml:space="preserve">2026-04-30</t>
  </si>
  <si>
    <t xml:space="preserve">NV009</t>
  </si>
  <si>
    <t xml:space="preserve">Đặng Thị Nga</t>
  </si>
  <si>
    <t xml:space="preserve">Chuyên viên MKT</t>
  </si>
  <si>
    <t xml:space="preserve">2021-11-01</t>
  </si>
  <si>
    <t xml:space="preserve">NV010</t>
  </si>
  <si>
    <t xml:space="preserve">Ngô Văn Sơn</t>
  </si>
  <si>
    <t xml:space="preserve">Trưởng nhóm KD</t>
  </si>
  <si>
    <t xml:space="preserve">2020-01-15</t>
  </si>
  <si>
    <t xml:space="preserve">NV011</t>
  </si>
  <si>
    <t xml:space="preserve">Trịnh Thị Hằng</t>
  </si>
  <si>
    <t xml:space="preserve">Kế toán công nợ</t>
  </si>
  <si>
    <t xml:space="preserve">2023-05-19</t>
  </si>
  <si>
    <t xml:space="preserve">NV012</t>
  </si>
  <si>
    <t xml:space="preserve">Lý Văn Đạt</t>
  </si>
  <si>
    <t xml:space="preserve">2024-02-01</t>
  </si>
  <si>
    <t xml:space="preserve">2026-01-10</t>
  </si>
  <si>
    <t xml:space="preserve">NV013</t>
  </si>
  <si>
    <t xml:space="preserve">Phan Thị Yến</t>
  </si>
  <si>
    <t xml:space="preserve">2025-03-01</t>
  </si>
  <si>
    <t xml:space="preserve">NV014</t>
  </si>
  <si>
    <t xml:space="preserve">Dương Văn Phúc</t>
  </si>
  <si>
    <t xml:space="preserve">Trưởng nhóm VH</t>
  </si>
  <si>
    <t xml:space="preserve">2019-08-01</t>
  </si>
  <si>
    <t xml:space="preserve">NV015</t>
  </si>
  <si>
    <t xml:space="preserve">Cao Thị Bình</t>
  </si>
  <si>
    <t xml:space="preserve">2025-09-15</t>
  </si>
  <si>
    <t xml:space="preserve">2026-03-15</t>
  </si>
  <si>
    <t xml:space="preserve">NV016</t>
  </si>
  <si>
    <t xml:space="preserve">Hồ Văn Quang</t>
  </si>
  <si>
    <t xml:space="preserve">2022-04-10</t>
  </si>
  <si>
    <t xml:space="preserve">NV017</t>
  </si>
  <si>
    <t xml:space="preserve">Đinh Thị Loan</t>
  </si>
  <si>
    <t xml:space="preserve">Kế toán trưởng</t>
  </si>
  <si>
    <t xml:space="preserve">2018-06-01</t>
  </si>
  <si>
    <t xml:space="preserve">NV018</t>
  </si>
  <si>
    <t xml:space="preserve">Mai Văn Tài</t>
  </si>
  <si>
    <t xml:space="preserve">2024-10-01</t>
  </si>
  <si>
    <t xml:space="preserve">2026-05-05</t>
  </si>
  <si>
    <t xml:space="preserve">NV019</t>
  </si>
  <si>
    <t xml:space="preserve">Tô Thị Hương</t>
  </si>
  <si>
    <t xml:space="preserve">2021-12-20</t>
  </si>
  <si>
    <t xml:space="preserve">NV020</t>
  </si>
  <si>
    <t xml:space="preserve">Nguyễn Văn Long</t>
  </si>
  <si>
    <t xml:space="preserve">2025-07-01</t>
  </si>
  <si>
    <t xml:space="preserve">NV021</t>
  </si>
  <si>
    <t xml:space="preserve">Trần Thị Kim</t>
  </si>
  <si>
    <t xml:space="preserve">2023-09-01</t>
  </si>
  <si>
    <t xml:space="preserve">2026-04-01</t>
  </si>
  <si>
    <t xml:space="preserve">NV022</t>
  </si>
  <si>
    <t xml:space="preserve">Lê Văn Bảo</t>
  </si>
  <si>
    <t xml:space="preserve">2025-10-15</t>
  </si>
  <si>
    <t xml:space="preserve">NV023</t>
  </si>
  <si>
    <t xml:space="preserve">Phạm Thị Vân</t>
  </si>
  <si>
    <t xml:space="preserve">Hành chính nhân sự</t>
  </si>
  <si>
    <t xml:space="preserve">Chuyên viên HC-NS</t>
  </si>
  <si>
    <t xml:space="preserve">2020-05-01</t>
  </si>
  <si>
    <t xml:space="preserve">NV024</t>
  </si>
  <si>
    <t xml:space="preserve">Võ Văn Thành</t>
  </si>
  <si>
    <t xml:space="preserve">2024-01-10</t>
  </si>
  <si>
    <t xml:space="preserve">NV025</t>
  </si>
  <si>
    <t xml:space="preserve">Đặng Thị Thảo</t>
  </si>
  <si>
    <t xml:space="preserve">2025-02-01</t>
  </si>
  <si>
    <t xml:space="preserve">2026-02-28</t>
  </si>
  <si>
    <t xml:space="preserve">TỔNG HỢP (công thức tự tính từ sheet 'Danh sách NV')</t>
  </si>
  <si>
    <t xml:space="preserve">Tổng NV</t>
  </si>
  <si>
    <t xml:space="preserve">TỔNG</t>
  </si>
  <si>
    <t xml:space="preserve">HƯỚNG DẪN SỬ DỤNG (file mẫu — dữ liệu giả lập, đã ẩn danh)</t>
  </si>
  <si>
    <t xml:space="preserve">Bài học liên quan: m46 (phân tích Excel nhân sự), m47 (báo cáo định kỳ), m48 (dashboard).</t>
  </si>
  <si>
    <t xml:space="preserve">Sheet 'Tổng hợp' dùng COUNTIF/COUNTIFS — mở bằng Excel/Google Sheets sẽ tự tính.</t>
  </si>
  <si>
    <t xml:space="preserve">Gợi ý: upload file + hỏi Claude 'phòng nào turnover cao nhất?', 'cơ cấu giới tính theo phòng?'…</t>
  </si>
  <si>
    <t xml:space="preserve">Số liệu giả lập, đã ẩn danh.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</si>
</sst>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8"/>
    <col collapsed="false" customWidth="true" hidden="false" outlineLevel="0" max="6" min="5" style="0" width="9"/>
    <col collapsed="false" customWidth="true" hidden="false" outlineLevel="0" max="8" min="7" style="0" width="12"/>
    <col collapsed="false" customWidth="true" hidden="false" outlineLevel="0" max="9" min="9" style="0" width="22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7.35" hidden="false" customHeight="false" outlineLevel="0" collapsed="false">
      <c r="A1" s="1" t="s">
        <v>0</v>
      </c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customFormat="false" ht="15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4" t="n">
        <v>1994</v>
      </c>
      <c r="G4" s="3" t="s">
        <v>17</v>
      </c>
      <c r="H4" s="3"/>
      <c r="I4" s="3" t="s">
        <v>18</v>
      </c>
      <c r="J4" s="5" t="n">
        <v>12000000</v>
      </c>
      <c r="K4" s="3" t="s">
        <v>19</v>
      </c>
    </row>
    <row r="5" customFormat="false" ht="15" hidden="false" customHeight="false" outlineLevel="0" collapsed="false">
      <c r="A5" s="3" t="s">
        <v>20</v>
      </c>
      <c r="B5" s="3" t="s">
        <v>21</v>
      </c>
      <c r="C5" s="3" t="s">
        <v>14</v>
      </c>
      <c r="D5" s="3" t="s">
        <v>15</v>
      </c>
      <c r="E5" s="3" t="s">
        <v>22</v>
      </c>
      <c r="F5" s="4" t="n">
        <v>1996</v>
      </c>
      <c r="G5" s="3" t="s">
        <v>23</v>
      </c>
      <c r="H5" s="3"/>
      <c r="I5" s="3" t="s">
        <v>24</v>
      </c>
      <c r="J5" s="5" t="n">
        <v>11000000</v>
      </c>
      <c r="K5" s="3" t="s">
        <v>19</v>
      </c>
    </row>
    <row r="6" customFormat="false" ht="15" hidden="false" customHeight="false" outlineLevel="0" collapsed="false">
      <c r="A6" s="3" t="s">
        <v>25</v>
      </c>
      <c r="B6" s="3" t="s">
        <v>26</v>
      </c>
      <c r="C6" s="3" t="s">
        <v>27</v>
      </c>
      <c r="D6" s="3" t="s">
        <v>28</v>
      </c>
      <c r="E6" s="3" t="s">
        <v>16</v>
      </c>
      <c r="F6" s="4" t="n">
        <v>1990</v>
      </c>
      <c r="G6" s="3" t="s">
        <v>29</v>
      </c>
      <c r="H6" s="3"/>
      <c r="I6" s="3" t="s">
        <v>18</v>
      </c>
      <c r="J6" s="5" t="n">
        <v>13000000</v>
      </c>
      <c r="K6" s="3" t="s">
        <v>19</v>
      </c>
    </row>
    <row r="7" customFormat="false" ht="15" hidden="false" customHeight="false" outlineLevel="0" collapsed="false">
      <c r="A7" s="3" t="s">
        <v>30</v>
      </c>
      <c r="B7" s="3" t="s">
        <v>31</v>
      </c>
      <c r="C7" s="3" t="s">
        <v>32</v>
      </c>
      <c r="D7" s="3" t="s">
        <v>33</v>
      </c>
      <c r="E7" s="3" t="s">
        <v>22</v>
      </c>
      <c r="F7" s="4" t="n">
        <v>1998</v>
      </c>
      <c r="G7" s="3" t="s">
        <v>34</v>
      </c>
      <c r="H7" s="3" t="s">
        <v>35</v>
      </c>
      <c r="I7" s="3" t="s">
        <v>36</v>
      </c>
      <c r="J7" s="5" t="n">
        <v>9000000</v>
      </c>
      <c r="K7" s="3" t="s">
        <v>37</v>
      </c>
    </row>
    <row r="8" customFormat="false" ht="15" hidden="false" customHeight="false" outlineLevel="0" collapsed="false">
      <c r="A8" s="3" t="s">
        <v>38</v>
      </c>
      <c r="B8" s="3" t="s">
        <v>39</v>
      </c>
      <c r="C8" s="3" t="s">
        <v>40</v>
      </c>
      <c r="D8" s="3" t="s">
        <v>41</v>
      </c>
      <c r="E8" s="3" t="s">
        <v>16</v>
      </c>
      <c r="F8" s="4" t="n">
        <v>1995</v>
      </c>
      <c r="G8" s="3" t="s">
        <v>42</v>
      </c>
      <c r="H8" s="3"/>
      <c r="I8" s="3" t="s">
        <v>18</v>
      </c>
      <c r="J8" s="5" t="n">
        <v>12500000</v>
      </c>
      <c r="K8" s="3" t="s">
        <v>19</v>
      </c>
    </row>
    <row r="9" customFormat="false" ht="15" hidden="false" customHeight="false" outlineLevel="0" collapsed="false">
      <c r="A9" s="3" t="s">
        <v>43</v>
      </c>
      <c r="B9" s="3" t="s">
        <v>44</v>
      </c>
      <c r="C9" s="3" t="s">
        <v>27</v>
      </c>
      <c r="D9" s="3" t="s">
        <v>45</v>
      </c>
      <c r="E9" s="3" t="s">
        <v>22</v>
      </c>
      <c r="F9" s="4" t="n">
        <v>1993</v>
      </c>
      <c r="G9" s="3" t="s">
        <v>46</v>
      </c>
      <c r="H9" s="3"/>
      <c r="I9" s="3" t="s">
        <v>24</v>
      </c>
      <c r="J9" s="5" t="n">
        <v>11000000</v>
      </c>
      <c r="K9" s="3" t="s">
        <v>19</v>
      </c>
    </row>
    <row r="10" customFormat="false" ht="15" hidden="false" customHeight="false" outlineLevel="0" collapsed="false">
      <c r="A10" s="3" t="s">
        <v>47</v>
      </c>
      <c r="B10" s="3" t="s">
        <v>48</v>
      </c>
      <c r="C10" s="3" t="s">
        <v>14</v>
      </c>
      <c r="D10" s="3" t="s">
        <v>15</v>
      </c>
      <c r="E10" s="3" t="s">
        <v>16</v>
      </c>
      <c r="F10" s="4" t="n">
        <v>1999</v>
      </c>
      <c r="G10" s="3" t="s">
        <v>49</v>
      </c>
      <c r="H10" s="3"/>
      <c r="I10" s="3" t="s">
        <v>36</v>
      </c>
      <c r="J10" s="5" t="n">
        <v>10500000</v>
      </c>
      <c r="K10" s="3" t="s">
        <v>19</v>
      </c>
    </row>
    <row r="11" customFormat="false" ht="15" hidden="false" customHeight="false" outlineLevel="0" collapsed="false">
      <c r="A11" s="3" t="s">
        <v>50</v>
      </c>
      <c r="B11" s="3" t="s">
        <v>51</v>
      </c>
      <c r="C11" s="3" t="s">
        <v>32</v>
      </c>
      <c r="D11" s="3" t="s">
        <v>33</v>
      </c>
      <c r="E11" s="3" t="s">
        <v>22</v>
      </c>
      <c r="F11" s="4" t="n">
        <v>1997</v>
      </c>
      <c r="G11" s="3" t="s">
        <v>52</v>
      </c>
      <c r="H11" s="3" t="s">
        <v>53</v>
      </c>
      <c r="I11" s="3" t="s">
        <v>24</v>
      </c>
      <c r="J11" s="5" t="n">
        <v>9000000</v>
      </c>
      <c r="K11" s="3" t="s">
        <v>37</v>
      </c>
    </row>
    <row r="12" customFormat="false" ht="15" hidden="false" customHeight="false" outlineLevel="0" collapsed="false">
      <c r="A12" s="3" t="s">
        <v>54</v>
      </c>
      <c r="B12" s="3" t="s">
        <v>55</v>
      </c>
      <c r="C12" s="3" t="s">
        <v>40</v>
      </c>
      <c r="D12" s="3" t="s">
        <v>56</v>
      </c>
      <c r="E12" s="3" t="s">
        <v>16</v>
      </c>
      <c r="F12" s="4" t="n">
        <v>1992</v>
      </c>
      <c r="G12" s="3" t="s">
        <v>57</v>
      </c>
      <c r="H12" s="3"/>
      <c r="I12" s="3" t="s">
        <v>18</v>
      </c>
      <c r="J12" s="5" t="n">
        <v>12500000</v>
      </c>
      <c r="K12" s="3" t="s">
        <v>19</v>
      </c>
    </row>
    <row r="13" customFormat="false" ht="15" hidden="false" customHeight="false" outlineLevel="0" collapsed="false">
      <c r="A13" s="3" t="s">
        <v>58</v>
      </c>
      <c r="B13" s="3" t="s">
        <v>59</v>
      </c>
      <c r="C13" s="3" t="s">
        <v>14</v>
      </c>
      <c r="D13" s="3" t="s">
        <v>60</v>
      </c>
      <c r="E13" s="3" t="s">
        <v>22</v>
      </c>
      <c r="F13" s="4" t="n">
        <v>1989</v>
      </c>
      <c r="G13" s="3" t="s">
        <v>61</v>
      </c>
      <c r="H13" s="3"/>
      <c r="I13" s="3" t="s">
        <v>18</v>
      </c>
      <c r="J13" s="5" t="n">
        <v>18000000</v>
      </c>
      <c r="K13" s="3" t="s">
        <v>19</v>
      </c>
    </row>
    <row r="14" customFormat="false" ht="15" hidden="false" customHeight="false" outlineLevel="0" collapsed="false">
      <c r="A14" s="3" t="s">
        <v>62</v>
      </c>
      <c r="B14" s="3" t="s">
        <v>63</v>
      </c>
      <c r="C14" s="3" t="s">
        <v>27</v>
      </c>
      <c r="D14" s="3" t="s">
        <v>64</v>
      </c>
      <c r="E14" s="3" t="s">
        <v>16</v>
      </c>
      <c r="F14" s="4" t="n">
        <v>1994</v>
      </c>
      <c r="G14" s="3" t="s">
        <v>65</v>
      </c>
      <c r="H14" s="3"/>
      <c r="I14" s="3" t="s">
        <v>24</v>
      </c>
      <c r="J14" s="5" t="n">
        <v>11500000</v>
      </c>
      <c r="K14" s="3" t="s">
        <v>19</v>
      </c>
    </row>
    <row r="15" customFormat="false" ht="15" hidden="false" customHeight="false" outlineLevel="0" collapsed="false">
      <c r="A15" s="3" t="s">
        <v>66</v>
      </c>
      <c r="B15" s="3" t="s">
        <v>67</v>
      </c>
      <c r="C15" s="3" t="s">
        <v>32</v>
      </c>
      <c r="D15" s="3" t="s">
        <v>33</v>
      </c>
      <c r="E15" s="3" t="s">
        <v>22</v>
      </c>
      <c r="F15" s="4" t="n">
        <v>2000</v>
      </c>
      <c r="G15" s="3" t="s">
        <v>68</v>
      </c>
      <c r="H15" s="3" t="s">
        <v>69</v>
      </c>
      <c r="I15" s="3" t="s">
        <v>24</v>
      </c>
      <c r="J15" s="5" t="n">
        <v>9500000</v>
      </c>
      <c r="K15" s="3" t="s">
        <v>37</v>
      </c>
    </row>
    <row r="16" customFormat="false" ht="15" hidden="false" customHeight="false" outlineLevel="0" collapsed="false">
      <c r="A16" s="3" t="s">
        <v>70</v>
      </c>
      <c r="B16" s="3" t="s">
        <v>71</v>
      </c>
      <c r="C16" s="3" t="s">
        <v>14</v>
      </c>
      <c r="D16" s="3" t="s">
        <v>15</v>
      </c>
      <c r="E16" s="3" t="s">
        <v>16</v>
      </c>
      <c r="F16" s="4" t="n">
        <v>1997</v>
      </c>
      <c r="G16" s="3" t="s">
        <v>72</v>
      </c>
      <c r="H16" s="3"/>
      <c r="I16" s="3" t="s">
        <v>36</v>
      </c>
      <c r="J16" s="5" t="n">
        <v>10500000</v>
      </c>
      <c r="K16" s="3" t="s">
        <v>19</v>
      </c>
    </row>
    <row r="17" customFormat="false" ht="15" hidden="false" customHeight="false" outlineLevel="0" collapsed="false">
      <c r="A17" s="3" t="s">
        <v>73</v>
      </c>
      <c r="B17" s="3" t="s">
        <v>74</v>
      </c>
      <c r="C17" s="3" t="s">
        <v>32</v>
      </c>
      <c r="D17" s="3" t="s">
        <v>75</v>
      </c>
      <c r="E17" s="3" t="s">
        <v>22</v>
      </c>
      <c r="F17" s="4" t="n">
        <v>1988</v>
      </c>
      <c r="G17" s="3" t="s">
        <v>76</v>
      </c>
      <c r="H17" s="3"/>
      <c r="I17" s="3" t="s">
        <v>18</v>
      </c>
      <c r="J17" s="5" t="n">
        <v>16000000</v>
      </c>
      <c r="K17" s="3" t="s">
        <v>19</v>
      </c>
    </row>
    <row r="18" customFormat="false" ht="15" hidden="false" customHeight="false" outlineLevel="0" collapsed="false">
      <c r="A18" s="3" t="s">
        <v>77</v>
      </c>
      <c r="B18" s="3" t="s">
        <v>78</v>
      </c>
      <c r="C18" s="3" t="s">
        <v>40</v>
      </c>
      <c r="D18" s="3" t="s">
        <v>41</v>
      </c>
      <c r="E18" s="3" t="s">
        <v>16</v>
      </c>
      <c r="F18" s="4" t="n">
        <v>2001</v>
      </c>
      <c r="G18" s="3" t="s">
        <v>79</v>
      </c>
      <c r="H18" s="3" t="s">
        <v>80</v>
      </c>
      <c r="I18" s="3" t="s">
        <v>36</v>
      </c>
      <c r="J18" s="5" t="n">
        <v>10000000</v>
      </c>
      <c r="K18" s="3" t="s">
        <v>37</v>
      </c>
    </row>
    <row r="19" customFormat="false" ht="15" hidden="false" customHeight="false" outlineLevel="0" collapsed="false">
      <c r="A19" s="3" t="s">
        <v>81</v>
      </c>
      <c r="B19" s="3" t="s">
        <v>82</v>
      </c>
      <c r="C19" s="3" t="s">
        <v>14</v>
      </c>
      <c r="D19" s="3" t="s">
        <v>15</v>
      </c>
      <c r="E19" s="3" t="s">
        <v>22</v>
      </c>
      <c r="F19" s="4" t="n">
        <v>1995</v>
      </c>
      <c r="G19" s="3" t="s">
        <v>83</v>
      </c>
      <c r="H19" s="3"/>
      <c r="I19" s="3" t="s">
        <v>18</v>
      </c>
      <c r="J19" s="5" t="n">
        <v>12000000</v>
      </c>
      <c r="K19" s="3" t="s">
        <v>19</v>
      </c>
    </row>
    <row r="20" customFormat="false" ht="15" hidden="false" customHeight="false" outlineLevel="0" collapsed="false">
      <c r="A20" s="3" t="s">
        <v>84</v>
      </c>
      <c r="B20" s="3" t="s">
        <v>85</v>
      </c>
      <c r="C20" s="3" t="s">
        <v>27</v>
      </c>
      <c r="D20" s="3" t="s">
        <v>86</v>
      </c>
      <c r="E20" s="3" t="s">
        <v>16</v>
      </c>
      <c r="F20" s="4" t="n">
        <v>1985</v>
      </c>
      <c r="G20" s="3" t="s">
        <v>87</v>
      </c>
      <c r="H20" s="3"/>
      <c r="I20" s="3" t="s">
        <v>18</v>
      </c>
      <c r="J20" s="5" t="n">
        <v>25000000</v>
      </c>
      <c r="K20" s="3" t="s">
        <v>19</v>
      </c>
    </row>
    <row r="21" customFormat="false" ht="15" hidden="false" customHeight="false" outlineLevel="0" collapsed="false">
      <c r="A21" s="3" t="s">
        <v>88</v>
      </c>
      <c r="B21" s="3" t="s">
        <v>89</v>
      </c>
      <c r="C21" s="3" t="s">
        <v>14</v>
      </c>
      <c r="D21" s="3" t="s">
        <v>15</v>
      </c>
      <c r="E21" s="3" t="s">
        <v>22</v>
      </c>
      <c r="F21" s="4" t="n">
        <v>1998</v>
      </c>
      <c r="G21" s="3" t="s">
        <v>90</v>
      </c>
      <c r="H21" s="3" t="s">
        <v>91</v>
      </c>
      <c r="I21" s="3" t="s">
        <v>24</v>
      </c>
      <c r="J21" s="5" t="n">
        <v>11000000</v>
      </c>
      <c r="K21" s="3" t="s">
        <v>37</v>
      </c>
    </row>
    <row r="22" customFormat="false" ht="15" hidden="false" customHeight="false" outlineLevel="0" collapsed="false">
      <c r="A22" s="3" t="s">
        <v>92</v>
      </c>
      <c r="B22" s="3" t="s">
        <v>93</v>
      </c>
      <c r="C22" s="3" t="s">
        <v>40</v>
      </c>
      <c r="D22" s="3" t="s">
        <v>56</v>
      </c>
      <c r="E22" s="3" t="s">
        <v>16</v>
      </c>
      <c r="F22" s="4" t="n">
        <v>1993</v>
      </c>
      <c r="G22" s="3" t="s">
        <v>94</v>
      </c>
      <c r="H22" s="3"/>
      <c r="I22" s="3" t="s">
        <v>18</v>
      </c>
      <c r="J22" s="5" t="n">
        <v>13000000</v>
      </c>
      <c r="K22" s="3" t="s">
        <v>19</v>
      </c>
    </row>
    <row r="23" customFormat="false" ht="15" hidden="false" customHeight="false" outlineLevel="0" collapsed="false">
      <c r="A23" s="3" t="s">
        <v>95</v>
      </c>
      <c r="B23" s="3" t="s">
        <v>96</v>
      </c>
      <c r="C23" s="3" t="s">
        <v>32</v>
      </c>
      <c r="D23" s="3" t="s">
        <v>33</v>
      </c>
      <c r="E23" s="3" t="s">
        <v>22</v>
      </c>
      <c r="F23" s="4" t="n">
        <v>1999</v>
      </c>
      <c r="G23" s="3" t="s">
        <v>97</v>
      </c>
      <c r="H23" s="3"/>
      <c r="I23" s="3" t="s">
        <v>36</v>
      </c>
      <c r="J23" s="5" t="n">
        <v>9000000</v>
      </c>
      <c r="K23" s="3" t="s">
        <v>19</v>
      </c>
    </row>
    <row r="24" customFormat="false" ht="15" hidden="false" customHeight="false" outlineLevel="0" collapsed="false">
      <c r="A24" s="3" t="s">
        <v>98</v>
      </c>
      <c r="B24" s="3" t="s">
        <v>99</v>
      </c>
      <c r="C24" s="3" t="s">
        <v>14</v>
      </c>
      <c r="D24" s="3" t="s">
        <v>15</v>
      </c>
      <c r="E24" s="3" t="s">
        <v>16</v>
      </c>
      <c r="F24" s="4" t="n">
        <v>1996</v>
      </c>
      <c r="G24" s="3" t="s">
        <v>100</v>
      </c>
      <c r="H24" s="3" t="s">
        <v>101</v>
      </c>
      <c r="I24" s="3" t="s">
        <v>24</v>
      </c>
      <c r="J24" s="5" t="n">
        <v>10500000</v>
      </c>
      <c r="K24" s="3" t="s">
        <v>37</v>
      </c>
    </row>
    <row r="25" customFormat="false" ht="15" hidden="false" customHeight="false" outlineLevel="0" collapsed="false">
      <c r="A25" s="3" t="s">
        <v>102</v>
      </c>
      <c r="B25" s="3" t="s">
        <v>103</v>
      </c>
      <c r="C25" s="3" t="s">
        <v>14</v>
      </c>
      <c r="D25" s="3" t="s">
        <v>15</v>
      </c>
      <c r="E25" s="3" t="s">
        <v>22</v>
      </c>
      <c r="F25" s="4" t="n">
        <v>2000</v>
      </c>
      <c r="G25" s="3" t="s">
        <v>104</v>
      </c>
      <c r="H25" s="3"/>
      <c r="I25" s="3" t="s">
        <v>36</v>
      </c>
      <c r="J25" s="5" t="n">
        <v>10000000</v>
      </c>
      <c r="K25" s="3" t="s">
        <v>19</v>
      </c>
    </row>
    <row r="26" customFormat="false" ht="15" hidden="false" customHeight="false" outlineLevel="0" collapsed="false">
      <c r="A26" s="3" t="s">
        <v>105</v>
      </c>
      <c r="B26" s="3" t="s">
        <v>106</v>
      </c>
      <c r="C26" s="3" t="s">
        <v>107</v>
      </c>
      <c r="D26" s="3" t="s">
        <v>108</v>
      </c>
      <c r="E26" s="3" t="s">
        <v>16</v>
      </c>
      <c r="F26" s="4" t="n">
        <v>1991</v>
      </c>
      <c r="G26" s="3" t="s">
        <v>109</v>
      </c>
      <c r="H26" s="3"/>
      <c r="I26" s="3" t="s">
        <v>18</v>
      </c>
      <c r="J26" s="5" t="n">
        <v>13000000</v>
      </c>
      <c r="K26" s="3" t="s">
        <v>19</v>
      </c>
    </row>
    <row r="27" customFormat="false" ht="15" hidden="false" customHeight="false" outlineLevel="0" collapsed="false">
      <c r="A27" s="3" t="s">
        <v>110</v>
      </c>
      <c r="B27" s="3" t="s">
        <v>111</v>
      </c>
      <c r="C27" s="3" t="s">
        <v>32</v>
      </c>
      <c r="D27" s="3" t="s">
        <v>33</v>
      </c>
      <c r="E27" s="3" t="s">
        <v>22</v>
      </c>
      <c r="F27" s="4" t="n">
        <v>1997</v>
      </c>
      <c r="G27" s="3" t="s">
        <v>112</v>
      </c>
      <c r="H27" s="3"/>
      <c r="I27" s="3" t="s">
        <v>24</v>
      </c>
      <c r="J27" s="5" t="n">
        <v>9500000</v>
      </c>
      <c r="K27" s="3" t="s">
        <v>19</v>
      </c>
    </row>
    <row r="28" customFormat="false" ht="15" hidden="false" customHeight="false" outlineLevel="0" collapsed="false">
      <c r="A28" s="3" t="s">
        <v>113</v>
      </c>
      <c r="B28" s="3" t="s">
        <v>114</v>
      </c>
      <c r="C28" s="3" t="s">
        <v>40</v>
      </c>
      <c r="D28" s="3" t="s">
        <v>41</v>
      </c>
      <c r="E28" s="3" t="s">
        <v>16</v>
      </c>
      <c r="F28" s="4" t="n">
        <v>1998</v>
      </c>
      <c r="G28" s="3" t="s">
        <v>115</v>
      </c>
      <c r="H28" s="3" t="s">
        <v>116</v>
      </c>
      <c r="I28" s="3" t="s">
        <v>36</v>
      </c>
      <c r="J28" s="5" t="n">
        <v>10000000</v>
      </c>
      <c r="K28" s="3" t="s">
        <v>37</v>
      </c>
    </row>
  </sheetData>
  <autoFilter ref="A3:K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0"/>
  </cols>
  <sheetData>
    <row r="1" customFormat="false" ht="17.35" hidden="false" customHeight="false" outlineLevel="0" collapsed="false">
      <c r="A1" s="1" t="s">
        <v>117</v>
      </c>
    </row>
    <row r="3" customFormat="false" ht="15" hidden="false" customHeight="false" outlineLevel="0" collapsed="false">
      <c r="A3" s="2" t="s">
        <v>3</v>
      </c>
      <c r="B3" s="2" t="s">
        <v>118</v>
      </c>
      <c r="C3" s="2" t="s">
        <v>19</v>
      </c>
      <c r="D3" s="2" t="s">
        <v>37</v>
      </c>
    </row>
    <row r="4" customFormat="false" ht="15" hidden="false" customHeight="false" outlineLevel="0" collapsed="false">
      <c r="A4" s="3" t="s">
        <v>14</v>
      </c>
      <c r="B4" s="3" t="n">
        <f aca="false">COUNTIF('Danh sách NV'!$C$4:$C$28,A4)</f>
        <v>9</v>
      </c>
      <c r="C4" s="3" t="n">
        <f aca="false">COUNTIFS('Danh sách NV'!$C$4:$C$28,A4,'Danh sách NV'!$K$4:$K$28,"Đang làm")</f>
        <v>7</v>
      </c>
      <c r="D4" s="3" t="n">
        <f aca="false">COUNTIFS('Danh sách NV'!$C$4:$C$28,A4,'Danh sách NV'!$K$4:$K$28,"Đã nghỉ")</f>
        <v>2</v>
      </c>
    </row>
    <row r="5" customFormat="false" ht="15" hidden="false" customHeight="false" outlineLevel="0" collapsed="false">
      <c r="A5" s="3" t="s">
        <v>27</v>
      </c>
      <c r="B5" s="3" t="n">
        <f aca="false">COUNTIF('Danh sách NV'!$C$4:$C$28,A5)</f>
        <v>4</v>
      </c>
      <c r="C5" s="3" t="n">
        <f aca="false">COUNTIFS('Danh sách NV'!$C$4:$C$28,A5,'Danh sách NV'!$K$4:$K$28,"Đang làm")</f>
        <v>4</v>
      </c>
      <c r="D5" s="3" t="n">
        <f aca="false">COUNTIFS('Danh sách NV'!$C$4:$C$28,A5,'Danh sách NV'!$K$4:$K$28,"Đã nghỉ")</f>
        <v>0</v>
      </c>
    </row>
    <row r="6" customFormat="false" ht="15" hidden="false" customHeight="false" outlineLevel="0" collapsed="false">
      <c r="A6" s="3" t="s">
        <v>32</v>
      </c>
      <c r="B6" s="3" t="n">
        <f aca="false">COUNTIF('Danh sách NV'!$C$4:$C$28,A6)</f>
        <v>6</v>
      </c>
      <c r="C6" s="3" t="n">
        <f aca="false">COUNTIFS('Danh sách NV'!$C$4:$C$28,A6,'Danh sách NV'!$K$4:$K$28,"Đang làm")</f>
        <v>3</v>
      </c>
      <c r="D6" s="3" t="n">
        <f aca="false">COUNTIFS('Danh sách NV'!$C$4:$C$28,A6,'Danh sách NV'!$K$4:$K$28,"Đã nghỉ")</f>
        <v>3</v>
      </c>
    </row>
    <row r="7" customFormat="false" ht="15" hidden="false" customHeight="false" outlineLevel="0" collapsed="false">
      <c r="A7" s="3" t="s">
        <v>40</v>
      </c>
      <c r="B7" s="3" t="n">
        <f aca="false">COUNTIF('Danh sách NV'!$C$4:$C$28,A7)</f>
        <v>5</v>
      </c>
      <c r="C7" s="3" t="n">
        <f aca="false">COUNTIFS('Danh sách NV'!$C$4:$C$28,A7,'Danh sách NV'!$K$4:$K$28,"Đang làm")</f>
        <v>3</v>
      </c>
      <c r="D7" s="3" t="n">
        <f aca="false">COUNTIFS('Danh sách NV'!$C$4:$C$28,A7,'Danh sách NV'!$K$4:$K$28,"Đã nghỉ")</f>
        <v>2</v>
      </c>
    </row>
    <row r="8" customFormat="false" ht="15" hidden="false" customHeight="false" outlineLevel="0" collapsed="false">
      <c r="A8" s="3" t="s">
        <v>107</v>
      </c>
      <c r="B8" s="3" t="n">
        <f aca="false">COUNTIF('Danh sách NV'!$C$4:$C$28,A8)</f>
        <v>1</v>
      </c>
      <c r="C8" s="3" t="n">
        <f aca="false">COUNTIFS('Danh sách NV'!$C$4:$C$28,A8,'Danh sách NV'!$K$4:$K$28,"Đang làm")</f>
        <v>1</v>
      </c>
      <c r="D8" s="3" t="n">
        <f aca="false">COUNTIFS('Danh sách NV'!$C$4:$C$28,A8,'Danh sách NV'!$K$4:$K$28,"Đã nghỉ")</f>
        <v>0</v>
      </c>
    </row>
    <row r="9" customFormat="false" ht="15" hidden="false" customHeight="false" outlineLevel="0" collapsed="false">
      <c r="A9" s="6" t="s">
        <v>119</v>
      </c>
      <c r="B9" s="6" t="n">
        <f aca="false">SUM(B4:B8)</f>
        <v>25</v>
      </c>
      <c r="C9" s="6" t="n">
        <f aca="false">SUM(C4:C8)</f>
        <v>18</v>
      </c>
      <c r="D9" s="6" t="n">
        <f aca="false">SUM(D4:D8)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120</v>
      </c>
    </row>
    <row r="3" customFormat="false" ht="15" hidden="false" customHeight="false" outlineLevel="0" collapsed="false">
      <c r="A3" s="7" t="s">
        <v>121</v>
      </c>
    </row>
    <row r="4" customFormat="false" ht="15" hidden="false" customHeight="false" outlineLevel="0" collapsed="false">
      <c r="A4" s="7" t="s">
        <v>122</v>
      </c>
    </row>
    <row r="5" customFormat="false" ht="15" hidden="false" customHeight="false" outlineLevel="0" collapsed="false">
      <c r="A5" s="7" t="s">
        <v>123</v>
      </c>
    </row>
    <row r="6" customFormat="false" ht="15" hidden="false" customHeight="false" outlineLevel="0" collapsed="false">
      <c r="A6" s="7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2026-06-19T03:45:03Z</dcterms:created>
  <dc:creator>openpyxl</dc:creator>
  <dc:description/>
  <dc:language>en-US</dc:language>
  <cp:lastModifiedBy/>
  <dcterms:modified xsi:type="dcterms:W3CDTF">2026-06-19T03:45:03Z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