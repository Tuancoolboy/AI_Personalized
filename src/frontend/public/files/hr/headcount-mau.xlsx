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dcount &amp; Cost" sheetId="1" state="visible" r:id="rId3"/>
    <sheet name="Hướng dẫ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<sst xmlns="http://schemas.openxmlformats.org/spreadsheetml/2006/main" count="21" uniqueCount="21">
  <si>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KẾ HOẠCH HEADCOUNT &amp; CHI PHÍ LƯƠNG 2026 (đơn vị: VNĐ)</t>
  </si>
  <si>
    <t xml:space="preserve">Phòng</t>
  </si>
  <si>
    <t xml:space="preserve">HC đầu năm</t>
  </si>
  <si>
    <t xml:space="preserve">HC hiện tại</t>
  </si>
  <si>
    <t xml:space="preserve">Nghỉ việc YTD</t>
  </si>
  <si>
    <t xml:space="preserve">Lương TB/tháng</t>
  </si>
  <si>
    <t xml:space="preserve">Chi phí lương/tháng</t>
  </si>
  <si>
    <t xml:space="preserve">KH tuyển Q3</t>
  </si>
  <si>
    <t xml:space="preserve">KH tuyển Q4</t>
  </si>
  <si>
    <t xml:space="preserve">Tăng trưởng mục tiêu</t>
  </si>
  <si>
    <t xml:space="preserve">Kinh doanh</t>
  </si>
  <si>
    <t xml:space="preserve">Kế toán</t>
  </si>
  <si>
    <t xml:space="preserve">Vận hành</t>
  </si>
  <si>
    <t xml:space="preserve">Marketing</t>
  </si>
  <si>
    <t xml:space="preserve">Hành chính nhân sự</t>
  </si>
  <si>
    <t xml:space="preserve">TỔNG</t>
  </si>
  <si>
    <t xml:space="preserve">HƯỚNG DẪN SỬ DỤNG (file mẫu — dữ liệu giả lập, đã ẩn danh)</t>
  </si>
  <si>
    <t xml:space="preserve">Bài học liên quan: m49 (headcount planning &amp; dự báo chi phí — Claude in Excel).</t>
  </si>
  <si>
    <t xml:space="preserve">Cột 'Chi phí lương/tháng' = HC hiện tại × Lương TB (công thức). Dòng TỔNG dùng SUM.</t>
  </si>
  <si>
    <t xml:space="preserve">Gợi ý: upload + nhờ Claude dựng kịch bản tăng trưởng, dự báo chi phí 12 tháng, kế hoạch tuyển theo quý.</t>
  </si>
  <si>
    <t xml:space="preserve">Số liệu giả lập.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</si>
</sst>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8" min="7" style="0" width="11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" hidden="false" customHeight="false" outlineLevel="0" collapsed="false">
      <c r="A4" s="3" t="s">
        <v>10</v>
      </c>
      <c r="B4" s="3" t="n">
        <v>14</v>
      </c>
      <c r="C4" s="3" t="n">
        <v>12</v>
      </c>
      <c r="D4" s="3" t="n">
        <v>4</v>
      </c>
      <c r="E4" s="4" t="n">
        <v>12500000</v>
      </c>
      <c r="F4" s="4" t="n">
        <f aca="false">C4*E4</f>
        <v>150000000</v>
      </c>
      <c r="G4" s="3" t="n">
        <v>3</v>
      </c>
      <c r="H4" s="3" t="n">
        <v>2</v>
      </c>
      <c r="I4" s="5" t="n">
        <v>0.3</v>
      </c>
    </row>
    <row r="5" customFormat="false" ht="15" hidden="false" customHeight="false" outlineLevel="0" collapsed="false">
      <c r="A5" s="3" t="s">
        <v>11</v>
      </c>
      <c r="B5" s="3" t="n">
        <v>4</v>
      </c>
      <c r="C5" s="3" t="n">
        <v>4</v>
      </c>
      <c r="D5" s="3" t="n">
        <v>0</v>
      </c>
      <c r="E5" s="4" t="n">
        <v>12625000</v>
      </c>
      <c r="F5" s="4" t="n">
        <f aca="false">C5*E5</f>
        <v>50500000</v>
      </c>
      <c r="G5" s="3" t="n">
        <v>0</v>
      </c>
      <c r="H5" s="3" t="n">
        <v>1</v>
      </c>
      <c r="I5" s="5" t="n">
        <v>0.1</v>
      </c>
    </row>
    <row r="6" customFormat="false" ht="15" hidden="false" customHeight="false" outlineLevel="0" collapsed="false">
      <c r="A6" s="3" t="s">
        <v>12</v>
      </c>
      <c r="B6" s="3" t="n">
        <v>9</v>
      </c>
      <c r="C6" s="3" t="n">
        <v>8</v>
      </c>
      <c r="D6" s="3" t="n">
        <v>3</v>
      </c>
      <c r="E6" s="4" t="n">
        <v>10125000</v>
      </c>
      <c r="F6" s="4" t="n">
        <f aca="false">C6*E6</f>
        <v>81000000</v>
      </c>
      <c r="G6" s="3" t="n">
        <v>2</v>
      </c>
      <c r="H6" s="3" t="n">
        <v>1</v>
      </c>
      <c r="I6" s="5" t="n">
        <v>0.15</v>
      </c>
    </row>
    <row r="7" customFormat="false" ht="15" hidden="false" customHeight="false" outlineLevel="0" collapsed="false">
      <c r="A7" s="3" t="s">
        <v>13</v>
      </c>
      <c r="B7" s="3" t="n">
        <v>5</v>
      </c>
      <c r="C7" s="3" t="n">
        <v>5</v>
      </c>
      <c r="D7" s="3" t="n">
        <v>2</v>
      </c>
      <c r="E7" s="4" t="n">
        <v>12500000</v>
      </c>
      <c r="F7" s="4" t="n">
        <f aca="false">C7*E7</f>
        <v>62500000</v>
      </c>
      <c r="G7" s="3" t="n">
        <v>1</v>
      </c>
      <c r="H7" s="3" t="n">
        <v>1</v>
      </c>
      <c r="I7" s="5" t="n">
        <v>0.25</v>
      </c>
    </row>
    <row r="8" customFormat="false" ht="15" hidden="false" customHeight="false" outlineLevel="0" collapsed="false">
      <c r="A8" s="3" t="s">
        <v>14</v>
      </c>
      <c r="B8" s="3" t="n">
        <v>2</v>
      </c>
      <c r="C8" s="3" t="n">
        <v>2</v>
      </c>
      <c r="D8" s="3" t="n">
        <v>0</v>
      </c>
      <c r="E8" s="4" t="n">
        <v>13000000</v>
      </c>
      <c r="F8" s="4" t="n">
        <f aca="false">C8*E8</f>
        <v>26000000</v>
      </c>
      <c r="G8" s="3" t="n">
        <v>0</v>
      </c>
      <c r="H8" s="3" t="n">
        <v>1</v>
      </c>
      <c r="I8" s="5" t="n">
        <v>0.1</v>
      </c>
    </row>
    <row r="9" customFormat="false" ht="15" hidden="false" customHeight="false" outlineLevel="0" collapsed="false">
      <c r="A9" s="6" t="s">
        <v>15</v>
      </c>
      <c r="B9" s="6" t="n">
        <f aca="false">SUM(B4:B8)</f>
        <v>34</v>
      </c>
      <c r="C9" s="6" t="n">
        <f aca="false">SUM(C4:C8)</f>
        <v>31</v>
      </c>
      <c r="D9" s="6" t="n">
        <f aca="false">SUM(D4:D8)</f>
        <v>9</v>
      </c>
      <c r="E9" s="3"/>
      <c r="F9" s="7" t="n">
        <f aca="false">SUM(F4:F8)</f>
        <v>370000000</v>
      </c>
      <c r="G9" s="6" t="n">
        <f aca="false">SUM(G4:G8)</f>
        <v>6</v>
      </c>
      <c r="H9" s="6" t="n">
        <f aca="false">SUM(H4:H8)</f>
        <v>6</v>
      </c>
      <c r="I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16</v>
      </c>
    </row>
    <row r="3" customFormat="false" ht="15" hidden="false" customHeight="false" outlineLevel="0" collapsed="false">
      <c r="A3" s="8" t="s">
        <v>17</v>
      </c>
    </row>
    <row r="4" customFormat="false" ht="15" hidden="false" customHeight="false" outlineLevel="0" collapsed="false">
      <c r="A4" s="8" t="s">
        <v>18</v>
      </c>
    </row>
    <row r="5" customFormat="false" ht="15" hidden="false" customHeight="false" outlineLevel="0" collapsed="false">
      <c r="A5" s="8" t="s">
        <v>19</v>
      </c>
    </row>
    <row r="6" customFormat="false" ht="15" hidden="false" customHeight="false" outlineLevel="0" collapsed="false">
      <c r="A6" s="8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2026-06-19T03:45:03Z</dcterms:created>
  <dc:creator>openpyxl</dc:creator>
  <dc:description/>
  <dc:language>en-US</dc:language>
  <cp:lastModifiedBy/>
  <dcterms:modified xsi:type="dcterms:W3CDTF">2026-06-19T03:45:03Z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